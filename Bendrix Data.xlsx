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faad5466d192e8e/Documents/Class/Statistics. MIT/Github/"/>
    </mc:Choice>
  </mc:AlternateContent>
  <xr:revisionPtr revIDLastSave="11" documentId="13_ncr:1_{5CD69ED3-6DE8-4FB4-800E-50325A6EF6AF}" xr6:coauthVersionLast="47" xr6:coauthVersionMax="47" xr10:uidLastSave="{B4EDA657-3A4A-44DA-8D2A-02B29AA8223D}"/>
  <bookViews>
    <workbookView xWindow="-110" yWindow="-110" windowWidth="23260" windowHeight="14860" activeTab="3" xr2:uid="{00000000-000D-0000-FFFF-FFFF00000000}"/>
  </bookViews>
  <sheets>
    <sheet name="Bendrix Data" sheetId="1" r:id="rId1"/>
    <sheet name="Regression 1" sheetId="2" r:id="rId2"/>
    <sheet name="Regression 2" sheetId="3" r:id="rId3"/>
    <sheet name="Regression 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<sst xmlns="http://schemas.openxmlformats.org/spreadsheetml/2006/main" count="83" uniqueCount="28">
  <si>
    <t>Month</t>
  </si>
  <si>
    <t>Machine Hours</t>
  </si>
  <si>
    <t>Production Runs</t>
  </si>
  <si>
    <t>Overhead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</si>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</sst>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Overhead vs Machine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'Bendrix Data'!$D$1</c:f>
              <c:strCache>
                <c:ptCount val="1"/>
                <c:pt idx="0">
                  <c:v>Overhead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'Bendrix Data'!$B$2:$B$9</c:f>
              <c:numCache>
                <c:formatCode>General</c:formatCode>
                <c:ptCount val="8"/>
                <c:pt idx="0">
                  <c:v>1539</c:v>
                </c:pt>
                <c:pt idx="1">
                  <c:v>1284</c:v>
                </c:pt>
                <c:pt idx="2">
                  <c:v>1490</c:v>
                </c:pt>
                <c:pt idx="3">
                  <c:v>1355</c:v>
                </c:pt>
                <c:pt idx="4">
                  <c:v>1500</c:v>
                </c:pt>
                <c:pt idx="5">
                  <c:v>1723</c:v>
                </c:pt>
                <c:pt idx="6">
                  <c:v>1413</c:v>
                </c:pt>
                <c:pt idx="7">
                  <c:v>1390</c:v>
                </c:pt>
              </c:numCache>
            </c:numRef>
          </c:xVal>
          <c:yVal>
            <c:numRef>
              <c:f>'Bendrix Data'!$D$2:$D$9</c:f>
              <c:numCache>
                <c:formatCode>General</c:formatCode>
                <c:ptCount val="8"/>
                <c:pt idx="0">
                  <c:v>99798</c:v>
                </c:pt>
                <c:pt idx="1">
                  <c:v>87804</c:v>
                </c:pt>
                <c:pt idx="2">
                  <c:v>93681</c:v>
                </c:pt>
                <c:pt idx="3">
                  <c:v>82262</c:v>
                </c:pt>
                <c:pt idx="4">
                  <c:v>106968</c:v>
                </c:pt>
                <c:pt idx="5">
                  <c:v>107828</c:v>
                </c:pt>
                <c:pt idx="6">
                  <c:v>88032</c:v>
                </c:pt>
                <c:pt idx="7">
                  <c:v>117943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8D-4845-9778-68B6394AE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477615"/>
        <c:axId val="972476175"/>
      </c:scatterChart>
      <c:valAx>
        <c:axId val="97247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900" b="1" i="0" u="none" strike="noStrike" baseline="0"/>
                  <a:t>Machine Hours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476175"/>
        <c:crosses val="autoZero"/>
        <c:crossBetween val="midCat"/>
      </c:valAx>
      <c:valAx>
        <c:axId val="97247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Overhead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47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1" i="0" u="none" strike="noStrike" cap="none" baseline="0"/>
              <a:t>Overhead vs Production Runs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'Bendrix Data'!$D$1</c:f>
              <c:strCache>
                <c:ptCount val="1"/>
                <c:pt idx="0">
                  <c:v>Overhead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'Bendrix Data'!$C$2:$C$9</c:f>
              <c:numCache>
                <c:formatCode>General</c:formatCode>
                <c:ptCount val="8"/>
                <c:pt idx="0">
                  <c:v>31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35</c:v>
                </c:pt>
                <c:pt idx="5">
                  <c:v>35</c:v>
                </c:pt>
                <c:pt idx="6">
                  <c:v>30</c:v>
                </c:pt>
                <c:pt idx="7">
                  <c:v>54</c:v>
                </c:pt>
              </c:numCache>
            </c:numRef>
          </c:xVal>
          <c:yVal>
            <c:numRef>
              <c:f>'Bendrix Data'!$D$2:$D$9</c:f>
              <c:numCache>
                <c:formatCode>General</c:formatCode>
                <c:ptCount val="8"/>
                <c:pt idx="0">
                  <c:v>99798</c:v>
                </c:pt>
                <c:pt idx="1">
                  <c:v>87804</c:v>
                </c:pt>
                <c:pt idx="2">
                  <c:v>93681</c:v>
                </c:pt>
                <c:pt idx="3">
                  <c:v>82262</c:v>
                </c:pt>
                <c:pt idx="4">
                  <c:v>106968</c:v>
                </c:pt>
                <c:pt idx="5">
                  <c:v>107828</c:v>
                </c:pt>
                <c:pt idx="6">
                  <c:v>88032</c:v>
                </c:pt>
                <c:pt idx="7">
                  <c:v>117943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BA-4887-B950-B012E03B2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338079"/>
        <c:axId val="1416339519"/>
      </c:scatterChart>
      <c:valAx>
        <c:axId val="141633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Production</a:t>
                </a:r>
                <a:r>
                  <a:rPr lang="en-AU" baseline="0"/>
                  <a:t> Runs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339519"/>
        <c:crosses val="autoZero"/>
        <c:crossBetween val="midCat"/>
      </c:valAx>
      <c:valAx>
        <c:axId val="141633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Overhead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33807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AU" sz="1600" b="1" i="0" u="none" strike="noStrike" cap="none" normalizeH="0" baseline="0"/>
              <a:t>Machine Hours vs Production Runs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'Bendrix Data'!$C$1</c:f>
              <c:strCache>
                <c:ptCount val="1"/>
                <c:pt idx="0">
                  <c:v>Production Runs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xVal>
            <c:numRef>
              <c:f>'Bendrix Data'!$B$2:$B$9</c:f>
              <c:numCache>
                <c:formatCode>General</c:formatCode>
                <c:ptCount val="8"/>
                <c:pt idx="0">
                  <c:v>1539</c:v>
                </c:pt>
                <c:pt idx="1">
                  <c:v>1284</c:v>
                </c:pt>
                <c:pt idx="2">
                  <c:v>1490</c:v>
                </c:pt>
                <c:pt idx="3">
                  <c:v>1355</c:v>
                </c:pt>
                <c:pt idx="4">
                  <c:v>1500</c:v>
                </c:pt>
                <c:pt idx="5">
                  <c:v>1723</c:v>
                </c:pt>
                <c:pt idx="6">
                  <c:v>1413</c:v>
                </c:pt>
                <c:pt idx="7">
                  <c:v>1390</c:v>
                </c:pt>
              </c:numCache>
            </c:numRef>
          </c:xVal>
          <c:yVal>
            <c:numRef>
              <c:f>'Bendrix Data'!$C$2:$C$9</c:f>
              <c:numCache>
                <c:formatCode>General</c:formatCode>
                <c:ptCount val="8"/>
                <c:pt idx="0">
                  <c:v>31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35</c:v>
                </c:pt>
                <c:pt idx="5">
                  <c:v>35</c:v>
                </c:pt>
                <c:pt idx="6">
                  <c:v>30</c:v>
                </c:pt>
                <c:pt idx="7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63-4831-86CD-2C5B35215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817040"/>
        <c:axId val="1951817520"/>
      </c:scatterChart>
      <c:valAx>
        <c:axId val="195181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Machine</a:t>
                </a:r>
                <a:r>
                  <a:rPr lang="en-AU" baseline="0"/>
                  <a:t> Hours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817520"/>
        <c:crosses val="autoZero"/>
        <c:crossBetween val="midCat"/>
      </c:valAx>
      <c:valAx>
        <c:axId val="195181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Production</a:t>
                </a:r>
                <a:r>
                  <a:rPr lang="en-AU" baseline="0"/>
                  <a:t> RUns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81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0</xdr:row>
      <xdr:rowOff>0</xdr:rowOff>
    </xdr:from>
    <xdr:to>
      <xdr:col>12</xdr:col>
      <xdr:colOff>485775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092062-7EAB-14EF-26AF-2B0058A8F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6350</xdr:rowOff>
    </xdr:from>
    <xdr:to>
      <xdr:col>5</xdr:col>
      <xdr:colOff>88900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3AD99F-D3F3-5512-F0EC-5F32FA2DF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174625</xdr:colOff>
      <xdr:row>15</xdr:row>
      <xdr:rowOff>88900</xdr:rowOff>
    </xdr:from>
    <xdr:to>
      <xdr:col>12</xdr:col>
      <xdr:colOff>479425</xdr:colOff>
      <xdr:row>30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C33A02-94ED-698E-AA67-6D7581900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6350</xdr:colOff>
      <xdr:row>0</xdr:row>
      <xdr:rowOff>133350</xdr:rowOff>
    </xdr:from>
    <xdr:to>
      <xdr:col>19</xdr:col>
      <xdr:colOff>552450</xdr:colOff>
      <xdr:row>7</xdr:row>
      <xdr:rowOff>25400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7DC1473-AEF3-67C3-F686-2F5EA9D323E8}"/>
            </a:ext>
          </a:extLst>
        </xdr:cNvPr>
        <xdr:cNvSpPr txBox="1"/>
      </xdr:nvSpPr>
      <xdr:spPr>
        <a:xfrm>
          <a:off x="9366250" y="133350"/>
          <a:ext cx="4203700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AU" sz="1100" b="1"/>
            <a:t>Conclusion:</a:t>
          </a:r>
        </a:p>
        <a:p>
          <a:pPr algn="l"/>
          <a:r>
            <a:rPr lang="en-AU" sz="1100"/>
            <a:t>According to the scatterplots and regression analysis, there is a positive correlation between the overhead cost and both machine hours and production run. The multiple regression model will give a more convincing explanation as it links the two variables.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P24" sqref="P24"/>
    </sheetView>
  </sheetViews>
  <sheetFormatPr defaultRowHeight="14.5" x14ac:dyDescent="0.35"/>
  <cols>
    <col min="2" max="2" width="16.36328125" customWidth="1"/>
    <col min="3" max="3" width="16.26953125" customWidth="1"/>
    <col min="4" max="4" width="14.08984375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>
        <v>1</v>
      </c>
      <c r="B2">
        <v>1539</v>
      </c>
      <c r="C2">
        <v>31</v>
      </c>
      <c r="D2">
        <v>99798</v>
      </c>
    </row>
    <row r="3" spans="1:4" x14ac:dyDescent="0.35">
      <c r="A3">
        <v>2</v>
      </c>
      <c r="B3">
        <v>1284</v>
      </c>
      <c r="C3">
        <v>29</v>
      </c>
      <c r="D3">
        <v>87804</v>
      </c>
    </row>
    <row r="4" spans="1:4" x14ac:dyDescent="0.35">
      <c r="A4">
        <v>3</v>
      </c>
      <c r="B4">
        <v>1490</v>
      </c>
      <c r="C4">
        <v>27</v>
      </c>
      <c r="D4">
        <v>93681</v>
      </c>
    </row>
    <row r="5" spans="1:4" x14ac:dyDescent="0.35">
      <c r="A5">
        <v>4</v>
      </c>
      <c r="B5">
        <v>1355</v>
      </c>
      <c r="C5">
        <v>22</v>
      </c>
      <c r="D5">
        <v>82262</v>
      </c>
    </row>
    <row r="6" spans="1:4" x14ac:dyDescent="0.35">
      <c r="A6">
        <v>5</v>
      </c>
      <c r="B6">
        <v>1500</v>
      </c>
      <c r="C6">
        <v>35</v>
      </c>
      <c r="D6">
        <v>106968</v>
      </c>
    </row>
    <row r="7" spans="1:4" x14ac:dyDescent="0.35">
      <c r="A7">
        <v>6</v>
      </c>
      <c r="B7">
        <v>1723</v>
      </c>
      <c r="C7">
        <v>35</v>
      </c>
      <c r="D7">
        <v>107828</v>
      </c>
    </row>
    <row r="8" spans="1:4" x14ac:dyDescent="0.35">
      <c r="A8">
        <v>7</v>
      </c>
      <c r="B8">
        <v>1413</v>
      </c>
      <c r="C8">
        <v>30</v>
      </c>
      <c r="D8">
        <v>88032</v>
      </c>
    </row>
    <row r="9" spans="1:4" x14ac:dyDescent="0.35">
      <c r="A9">
        <v>8</v>
      </c>
      <c r="B9">
        <v>1390</v>
      </c>
      <c r="C9">
        <v>54</v>
      </c>
      <c r="D9">
        <v>117943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664C-5590-4B77-B9D4-3B481F0B8500}">
  <dimension ref="A1:I18"/>
  <sheetViews>
    <sheetView workbookViewId="0"/>
  </sheetViews>
  <sheetFormatPr defaultRowHeight="14.5" x14ac:dyDescent="0.35"/>
  <cols>
    <col min="1" max="1" width="21.7265625" customWidth="1"/>
    <col min="2" max="2" width="17" customWidth="1"/>
    <col min="3" max="3" width="15.36328125" customWidth="1"/>
    <col min="4" max="4" width="16.7265625" customWidth="1"/>
    <col min="5" max="5" width="11.81640625" bestFit="1" customWidth="1"/>
    <col min="6" max="6" width="12.453125" bestFit="1" customWidth="1"/>
    <col min="7" max="7" width="11.81640625" bestFit="1" customWidth="1"/>
    <col min="8" max="8" width="12.453125" bestFit="1" customWidth="1"/>
    <col min="9" max="9" width="12" bestFit="1" customWidth="1"/>
  </cols>
  <sheetData>
    <row r="1" spans="1:9" x14ac:dyDescent="0.35">
      <c r="A1" s="4" t="s">
        <v>4</v>
      </c>
    </row>
    <row r="2" spans="1:9" ht="15" thickBot="1" x14ac:dyDescent="0.4"/>
    <row r="3" spans="1:9" x14ac:dyDescent="0.35">
      <c r="A3" s="3" t="s">
        <v>5</v>
      </c>
      <c r="B3" s="3"/>
    </row>
    <row r="4" spans="1:9" x14ac:dyDescent="0.35">
      <c r="A4" t="s">
        <v>6</v>
      </c>
      <c r="B4">
        <v>0.4746560005355091</v>
      </c>
    </row>
    <row r="5" spans="1:9" x14ac:dyDescent="0.35">
      <c r="A5" t="s">
        <v>7</v>
      </c>
      <c r="B5">
        <v>0.22529831884436521</v>
      </c>
    </row>
    <row r="6" spans="1:9" x14ac:dyDescent="0.35">
      <c r="A6" t="s">
        <v>8</v>
      </c>
      <c r="B6">
        <v>9.6181371985092759E-2</v>
      </c>
    </row>
    <row r="7" spans="1:9" x14ac:dyDescent="0.35">
      <c r="A7" t="s">
        <v>9</v>
      </c>
      <c r="B7">
        <v>11630.347479750135</v>
      </c>
    </row>
    <row r="8" spans="1:9" ht="15" thickBot="1" x14ac:dyDescent="0.4">
      <c r="A8" s="1" t="s">
        <v>10</v>
      </c>
      <c r="B8" s="1">
        <v>8</v>
      </c>
    </row>
    <row r="10" spans="1:9" ht="15" thickBot="1" x14ac:dyDescent="0.4">
      <c r="A10" t="s">
        <v>11</v>
      </c>
    </row>
    <row r="11" spans="1:9" x14ac:dyDescent="0.35">
      <c r="A11" s="2"/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20</v>
      </c>
    </row>
    <row r="12" spans="1:9" x14ac:dyDescent="0.35">
      <c r="A12" t="s">
        <v>12</v>
      </c>
      <c r="B12">
        <v>1</v>
      </c>
      <c r="C12">
        <v>236026129.00161815</v>
      </c>
      <c r="D12">
        <v>236026129.00161815</v>
      </c>
      <c r="E12">
        <v>1.744916715618462</v>
      </c>
      <c r="F12">
        <v>0.23465903953021833</v>
      </c>
    </row>
    <row r="13" spans="1:9" x14ac:dyDescent="0.35">
      <c r="A13" t="s">
        <v>13</v>
      </c>
      <c r="B13">
        <v>6</v>
      </c>
      <c r="C13">
        <v>811589894.99838185</v>
      </c>
      <c r="D13">
        <v>135264982.49973032</v>
      </c>
    </row>
    <row r="14" spans="1:9" ht="15" thickBot="1" x14ac:dyDescent="0.4">
      <c r="A14" s="1" t="s">
        <v>14</v>
      </c>
      <c r="B14" s="1">
        <v>7</v>
      </c>
      <c r="C14" s="1">
        <v>1047616024</v>
      </c>
      <c r="D14" s="1"/>
      <c r="E14" s="1"/>
      <c r="F14" s="1"/>
    </row>
    <row r="15" spans="1:9" ht="15" thickBot="1" x14ac:dyDescent="0.4"/>
    <row r="16" spans="1:9" x14ac:dyDescent="0.35">
      <c r="A16" s="2"/>
      <c r="B16" s="2" t="s">
        <v>21</v>
      </c>
      <c r="C16" s="2" t="s">
        <v>9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26</v>
      </c>
      <c r="I16" s="2" t="s">
        <v>27</v>
      </c>
    </row>
    <row r="17" spans="1:9" x14ac:dyDescent="0.35">
      <c r="A17" t="s">
        <v>15</v>
      </c>
      <c r="B17">
        <v>35022.318042765313</v>
      </c>
      <c r="C17">
        <v>47882.733060551691</v>
      </c>
      <c r="D17">
        <v>0.73141852614128533</v>
      </c>
      <c r="E17">
        <v>0.49208915430547517</v>
      </c>
      <c r="F17">
        <v>-82142.508948309667</v>
      </c>
      <c r="G17">
        <v>152187.14503384029</v>
      </c>
      <c r="H17">
        <v>-82142.508948309667</v>
      </c>
      <c r="I17">
        <v>152187.14503384029</v>
      </c>
    </row>
    <row r="18" spans="1:9" ht="15" thickBot="1" x14ac:dyDescent="0.4">
      <c r="A18" s="1" t="s">
        <v>1</v>
      </c>
      <c r="B18" s="1">
        <v>43.110779515809604</v>
      </c>
      <c r="C18" s="1">
        <v>32.63612021522983</v>
      </c>
      <c r="D18" s="1">
        <v>1.320952957382836</v>
      </c>
      <c r="E18" s="1">
        <v>0.23465903953021841</v>
      </c>
      <c r="F18" s="1">
        <v>-36.746929814228189</v>
      </c>
      <c r="G18" s="1">
        <v>122.96848884584739</v>
      </c>
      <c r="H18" s="1">
        <v>-36.746929814228189</v>
      </c>
      <c r="I18" s="1">
        <v>122.96848884584739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476F-5CB9-436B-BD1C-DA1A7D81949F}">
  <dimension ref="A1:I18"/>
  <sheetViews>
    <sheetView workbookViewId="0"/>
  </sheetViews>
  <sheetFormatPr defaultRowHeight="14.5" x14ac:dyDescent="0.35"/>
  <cols>
    <col min="1" max="1" width="17.26953125" bestFit="1" customWidth="1"/>
    <col min="2" max="2" width="11.81640625" bestFit="1" customWidth="1"/>
    <col min="3" max="3" width="13.54296875" bestFit="1" customWidth="1"/>
    <col min="4" max="5" width="11.81640625" bestFit="1" customWidth="1"/>
    <col min="6" max="6" width="12.453125" bestFit="1" customWidth="1"/>
    <col min="7" max="7" width="11.81640625" bestFit="1" customWidth="1"/>
    <col min="8" max="9" width="12" bestFit="1" customWidth="1"/>
  </cols>
  <sheetData>
    <row r="1" spans="1:9" x14ac:dyDescent="0.35">
      <c r="A1" s="4" t="s">
        <v>4</v>
      </c>
    </row>
    <row r="2" spans="1:9" ht="15" thickBot="1" x14ac:dyDescent="0.4"/>
    <row r="3" spans="1:9" x14ac:dyDescent="0.35">
      <c r="A3" s="3" t="s">
        <v>5</v>
      </c>
      <c r="B3" s="3"/>
    </row>
    <row r="4" spans="1:9" x14ac:dyDescent="0.35">
      <c r="A4" t="s">
        <v>6</v>
      </c>
      <c r="B4">
        <v>0.88598799050001642</v>
      </c>
    </row>
    <row r="5" spans="1:9" x14ac:dyDescent="0.35">
      <c r="A5" t="s">
        <v>7</v>
      </c>
      <c r="B5">
        <v>0.7849747193102572</v>
      </c>
    </row>
    <row r="6" spans="1:9" x14ac:dyDescent="0.35">
      <c r="A6" t="s">
        <v>8</v>
      </c>
      <c r="B6">
        <v>0.74913717252863332</v>
      </c>
    </row>
    <row r="7" spans="1:9" x14ac:dyDescent="0.35">
      <c r="A7" t="s">
        <v>9</v>
      </c>
      <c r="B7">
        <v>6127.3149314588627</v>
      </c>
    </row>
    <row r="8" spans="1:9" ht="15" thickBot="1" x14ac:dyDescent="0.4">
      <c r="A8" s="1" t="s">
        <v>10</v>
      </c>
      <c r="B8" s="1">
        <v>8</v>
      </c>
    </row>
    <row r="10" spans="1:9" ht="15" thickBot="1" x14ac:dyDescent="0.4">
      <c r="A10" t="s">
        <v>11</v>
      </c>
    </row>
    <row r="11" spans="1:9" x14ac:dyDescent="0.35">
      <c r="A11" s="2"/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20</v>
      </c>
    </row>
    <row r="12" spans="1:9" x14ac:dyDescent="0.35">
      <c r="A12" t="s">
        <v>12</v>
      </c>
      <c r="B12">
        <v>1</v>
      </c>
      <c r="C12">
        <v>822352094.38432765</v>
      </c>
      <c r="D12">
        <v>822352094.38432765</v>
      </c>
      <c r="E12">
        <v>21.903695699192326</v>
      </c>
      <c r="F12">
        <v>3.3954413023287691E-3</v>
      </c>
    </row>
    <row r="13" spans="1:9" x14ac:dyDescent="0.35">
      <c r="A13" t="s">
        <v>13</v>
      </c>
      <c r="B13">
        <v>6</v>
      </c>
      <c r="C13">
        <v>225263929.61567235</v>
      </c>
      <c r="D13">
        <v>37543988.269278727</v>
      </c>
    </row>
    <row r="14" spans="1:9" ht="15" thickBot="1" x14ac:dyDescent="0.4">
      <c r="A14" s="1" t="s">
        <v>14</v>
      </c>
      <c r="B14" s="1">
        <v>7</v>
      </c>
      <c r="C14" s="1">
        <v>1047616024</v>
      </c>
      <c r="D14" s="1"/>
      <c r="E14" s="1"/>
      <c r="F14" s="1"/>
    </row>
    <row r="15" spans="1:9" ht="15" thickBot="1" x14ac:dyDescent="0.4"/>
    <row r="16" spans="1:9" x14ac:dyDescent="0.35">
      <c r="A16" s="2"/>
      <c r="B16" s="2" t="s">
        <v>21</v>
      </c>
      <c r="C16" s="2" t="s">
        <v>9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26</v>
      </c>
      <c r="I16" s="2" t="s">
        <v>27</v>
      </c>
    </row>
    <row r="17" spans="1:9" x14ac:dyDescent="0.35">
      <c r="A17" t="s">
        <v>15</v>
      </c>
      <c r="B17">
        <v>60624.086434337463</v>
      </c>
      <c r="C17">
        <v>8282.8249431353361</v>
      </c>
      <c r="D17">
        <v>7.3192524109279491</v>
      </c>
      <c r="E17">
        <v>3.3213635851200081E-4</v>
      </c>
      <c r="F17">
        <v>40356.743920020454</v>
      </c>
      <c r="G17">
        <v>80891.428948654473</v>
      </c>
      <c r="H17">
        <v>40356.743920020454</v>
      </c>
      <c r="I17">
        <v>80891.428948654473</v>
      </c>
    </row>
    <row r="18" spans="1:9" ht="15" thickBot="1" x14ac:dyDescent="0.4">
      <c r="A18" s="1" t="s">
        <v>2</v>
      </c>
      <c r="B18" s="1">
        <v>1138.1114392596969</v>
      </c>
      <c r="C18" s="1">
        <v>243.17901210098026</v>
      </c>
      <c r="D18" s="1">
        <v>4.6801384273536542</v>
      </c>
      <c r="E18" s="1">
        <v>3.3954413023287661E-3</v>
      </c>
      <c r="F18" s="1">
        <v>543.07383260008237</v>
      </c>
      <c r="G18" s="1">
        <v>1733.1490459193114</v>
      </c>
      <c r="H18" s="1">
        <v>543.07383260008237</v>
      </c>
      <c r="I18" s="1">
        <v>1733.1490459193114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15335-49D7-475A-AC6F-9251057C0706}">
  <dimension ref="A1:I19"/>
  <sheetViews>
    <sheetView tabSelected="1" workbookViewId="0">
      <selection activeCell="B22" sqref="B22"/>
    </sheetView>
  </sheetViews>
  <sheetFormatPr defaultRowHeight="14.5" x14ac:dyDescent="0.35"/>
  <cols>
    <col min="1" max="1" width="17.26953125" bestFit="1" customWidth="1"/>
    <col min="2" max="2" width="11.81640625" bestFit="1" customWidth="1"/>
    <col min="3" max="3" width="13.54296875" bestFit="1" customWidth="1"/>
    <col min="4" max="5" width="11.81640625" bestFit="1" customWidth="1"/>
    <col min="6" max="6" width="12.453125" bestFit="1" customWidth="1"/>
    <col min="7" max="7" width="11.81640625" bestFit="1" customWidth="1"/>
    <col min="8" max="8" width="12.453125" bestFit="1" customWidth="1"/>
    <col min="9" max="9" width="12" bestFit="1" customWidth="1"/>
  </cols>
  <sheetData>
    <row r="1" spans="1:9" x14ac:dyDescent="0.35">
      <c r="A1" s="4" t="s">
        <v>4</v>
      </c>
    </row>
    <row r="2" spans="1:9" ht="15" thickBot="1" x14ac:dyDescent="0.4"/>
    <row r="3" spans="1:9" x14ac:dyDescent="0.35">
      <c r="A3" s="3" t="s">
        <v>5</v>
      </c>
      <c r="B3" s="3"/>
    </row>
    <row r="4" spans="1:9" x14ac:dyDescent="0.35">
      <c r="A4" t="s">
        <v>6</v>
      </c>
      <c r="B4">
        <v>0.97099961699536363</v>
      </c>
    </row>
    <row r="5" spans="1:9" x14ac:dyDescent="0.35">
      <c r="A5" t="s">
        <v>7</v>
      </c>
      <c r="B5">
        <v>0.94284025620514278</v>
      </c>
    </row>
    <row r="6" spans="1:9" x14ac:dyDescent="0.35">
      <c r="A6" t="s">
        <v>8</v>
      </c>
      <c r="B6">
        <v>0.91997635868719985</v>
      </c>
    </row>
    <row r="7" spans="1:9" x14ac:dyDescent="0.35">
      <c r="A7" t="s">
        <v>9</v>
      </c>
      <c r="B7">
        <v>3460.6780701829816</v>
      </c>
    </row>
    <row r="8" spans="1:9" ht="15" thickBot="1" x14ac:dyDescent="0.4">
      <c r="A8" s="1" t="s">
        <v>10</v>
      </c>
      <c r="B8" s="1">
        <v>8</v>
      </c>
    </row>
    <row r="10" spans="1:9" ht="15" thickBot="1" x14ac:dyDescent="0.4">
      <c r="A10" t="s">
        <v>11</v>
      </c>
    </row>
    <row r="11" spans="1:9" x14ac:dyDescent="0.35">
      <c r="A11" s="2"/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20</v>
      </c>
    </row>
    <row r="12" spans="1:9" x14ac:dyDescent="0.35">
      <c r="A12" t="s">
        <v>12</v>
      </c>
      <c r="B12">
        <v>2</v>
      </c>
      <c r="C12">
        <v>987734560.47277296</v>
      </c>
      <c r="D12">
        <v>493867280.23638648</v>
      </c>
      <c r="E12">
        <v>41.237074976618928</v>
      </c>
      <c r="F12">
        <v>7.8113425582010572E-4</v>
      </c>
    </row>
    <row r="13" spans="1:9" x14ac:dyDescent="0.35">
      <c r="A13" t="s">
        <v>13</v>
      </c>
      <c r="B13">
        <v>5</v>
      </c>
      <c r="C13">
        <v>59881463.527227029</v>
      </c>
      <c r="D13">
        <v>11976292.705445405</v>
      </c>
    </row>
    <row r="14" spans="1:9" ht="15" thickBot="1" x14ac:dyDescent="0.4">
      <c r="A14" s="1" t="s">
        <v>14</v>
      </c>
      <c r="B14" s="1">
        <v>7</v>
      </c>
      <c r="C14" s="1">
        <v>1047616024</v>
      </c>
      <c r="D14" s="1"/>
      <c r="E14" s="1"/>
      <c r="F14" s="1"/>
    </row>
    <row r="15" spans="1:9" ht="15" thickBot="1" x14ac:dyDescent="0.4"/>
    <row r="16" spans="1:9" x14ac:dyDescent="0.35">
      <c r="A16" s="2"/>
      <c r="B16" s="2" t="s">
        <v>21</v>
      </c>
      <c r="C16" s="2" t="s">
        <v>9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26</v>
      </c>
      <c r="I16" s="2" t="s">
        <v>27</v>
      </c>
    </row>
    <row r="17" spans="1:9" x14ac:dyDescent="0.35">
      <c r="A17" t="s">
        <v>15</v>
      </c>
      <c r="B17">
        <v>9163.8727136815069</v>
      </c>
      <c r="C17">
        <v>14616.860281924117</v>
      </c>
      <c r="D17">
        <v>0.62693851736504413</v>
      </c>
      <c r="E17">
        <v>0.55820975975169318</v>
      </c>
      <c r="F17">
        <v>-28409.962821066532</v>
      </c>
      <c r="G17">
        <v>46737.708248429546</v>
      </c>
      <c r="H17">
        <v>-28409.962821066532</v>
      </c>
      <c r="I17">
        <v>46737.708248429546</v>
      </c>
    </row>
    <row r="18" spans="1:9" x14ac:dyDescent="0.35">
      <c r="A18" t="s">
        <v>1</v>
      </c>
      <c r="B18">
        <v>36.230976707893355</v>
      </c>
      <c r="C18">
        <v>9.7498180478645793</v>
      </c>
      <c r="D18">
        <v>3.7160669594063576</v>
      </c>
      <c r="E18">
        <v>1.3768070075757605E-2</v>
      </c>
      <c r="F18">
        <v>11.168271533293552</v>
      </c>
      <c r="G18">
        <v>61.293681882493161</v>
      </c>
      <c r="H18">
        <v>11.168271533293552</v>
      </c>
      <c r="I18">
        <v>61.293681882493161</v>
      </c>
    </row>
    <row r="19" spans="1:9" ht="15" thickBot="1" x14ac:dyDescent="0.4">
      <c r="A19" s="1" t="s">
        <v>2</v>
      </c>
      <c r="B19" s="1">
        <v>1092.4713941765897</v>
      </c>
      <c r="C19" s="1">
        <v>137.89437925390774</v>
      </c>
      <c r="D19" s="1">
        <v>7.9225230215148921</v>
      </c>
      <c r="E19" s="1">
        <v>5.1590456637105181E-4</v>
      </c>
      <c r="F19" s="1">
        <v>738.00260763014933</v>
      </c>
      <c r="G19" s="1">
        <v>1446.9401807230302</v>
      </c>
      <c r="H19" s="1">
        <v>738.00260763014933</v>
      </c>
      <c r="I19" s="1">
        <v>1446.9401807230302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Bendrix Data</vt:lpstr>
      <vt:lpstr>Regression 1</vt:lpstr>
      <vt:lpstr>Regression 2</vt:lpstr>
      <vt:lpstr>Regression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Abdullah Al Amin</cp:lastModifiedBy>
  <dcterms:created xsi:type="dcterms:W3CDTF">2026-03-23T02:47:26Z</dcterms:created>
  <dcterms:modified xsi:type="dcterms:W3CDTF">2026-04-10T11:39:55Z</dcterms:modified>
</cp:coreProperties>
</file>